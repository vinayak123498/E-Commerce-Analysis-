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\Documents\"/>
    </mc:Choice>
  </mc:AlternateContent>
  <xr:revisionPtr revIDLastSave="0" documentId="8_{1678F713-A9F7-4FE2-8490-7CEB5754A80B}" xr6:coauthVersionLast="47" xr6:coauthVersionMax="47" xr10:uidLastSave="{00000000-0000-0000-0000-000000000000}"/>
  <bookViews>
    <workbookView xWindow="-108" yWindow="-108" windowWidth="23256" windowHeight="12456" activeTab="2" xr2:uid="{059B949A-8BC9-4F53-B652-82F9939D5F70}"/>
  </bookViews>
  <sheets>
    <sheet name="Sheet2" sheetId="2" r:id="rId1"/>
    <sheet name="Sheet3" sheetId="3" r:id="rId2"/>
    <sheet name="Sheet1" sheetId="1" r:id="rId3"/>
    <sheet name="Sheet4" sheetId="4" r:id="rId4"/>
  </sheet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0" i="4" l="1"/>
  <c r="L16" i="4"/>
  <c r="L15" i="4"/>
  <c r="L12" i="4"/>
  <c r="L11" i="4"/>
  <c r="L8" i="4"/>
  <c r="L7" i="4"/>
  <c r="L4" i="4"/>
  <c r="L3" i="4"/>
  <c r="C10" i="1" l="1"/>
</calcChain>
</file>

<file path=xl/sharedStrings.xml><?xml version="1.0" encoding="utf-8"?>
<sst xmlns="http://schemas.openxmlformats.org/spreadsheetml/2006/main" count="65" uniqueCount="46">
  <si>
    <t>Ticket_ID</t>
  </si>
  <si>
    <t>Created_Date</t>
  </si>
  <si>
    <t>Resolved_Date</t>
  </si>
  <si>
    <t>Client</t>
  </si>
  <si>
    <t>Issue_Type</t>
  </si>
  <si>
    <t>Priority</t>
  </si>
  <si>
    <t>Support_Team</t>
  </si>
  <si>
    <t>Status</t>
  </si>
  <si>
    <t>Resolution_Time</t>
  </si>
  <si>
    <t>Customer_Rating</t>
  </si>
  <si>
    <t xml:space="preserve">T001 </t>
  </si>
  <si>
    <t xml:space="preserve">T002 </t>
  </si>
  <si>
    <t xml:space="preserve">T003 </t>
  </si>
  <si>
    <t xml:space="preserve">T004 </t>
  </si>
  <si>
    <t xml:space="preserve">T005 </t>
  </si>
  <si>
    <t xml:space="preserve">Infosys </t>
  </si>
  <si>
    <t xml:space="preserve">TCS     </t>
  </si>
  <si>
    <t xml:space="preserve">Wipro   </t>
  </si>
  <si>
    <t xml:space="preserve">Network </t>
  </si>
  <si>
    <t>Software</t>
  </si>
  <si>
    <t>Hardware</t>
  </si>
  <si>
    <t xml:space="preserve">High </t>
  </si>
  <si>
    <t>Medium</t>
  </si>
  <si>
    <t xml:space="preserve">Low  </t>
  </si>
  <si>
    <t xml:space="preserve">Team A </t>
  </si>
  <si>
    <t xml:space="preserve">Team B </t>
  </si>
  <si>
    <t xml:space="preserve">Team C </t>
  </si>
  <si>
    <t>Closed</t>
  </si>
  <si>
    <t xml:space="preserve">Closed </t>
  </si>
  <si>
    <t xml:space="preserve">Average Time </t>
  </si>
  <si>
    <t>Row Labels</t>
  </si>
  <si>
    <t>Grand Total</t>
  </si>
  <si>
    <t>Average of Resolution_Time</t>
  </si>
  <si>
    <t>Count of Ticket_ID</t>
  </si>
  <si>
    <t xml:space="preserve">STATISTICAL ANALYSIS — CUSTOMER RATING </t>
  </si>
  <si>
    <t>Resolution_Time mean</t>
  </si>
  <si>
    <t>Customer_Rating mean</t>
  </si>
  <si>
    <t>Resolution_Time median</t>
  </si>
  <si>
    <t>Customer_Rating median</t>
  </si>
  <si>
    <t>Resolution_Time mode</t>
  </si>
  <si>
    <t>Customer_Rating mode</t>
  </si>
  <si>
    <t>Resolution_Time standard deviation</t>
  </si>
  <si>
    <t xml:space="preserve">Customer_Rating standard deviation </t>
  </si>
  <si>
    <t>Correlational</t>
  </si>
  <si>
    <t>Resolution_Time v/s Customer_Rating</t>
  </si>
  <si>
    <t>Quartile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</si>
</sst>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14" fontId="0" fillId="0" borderId="2" xfId="0" applyNumberFormat="1" applyBorder="1"/>
    <xf numFmtId="14" fontId="0" fillId="0" borderId="3" xfId="0" applyNumberFormat="1" applyBorder="1"/>
    <xf numFmtId="0" fontId="0" fillId="0" borderId="2" xfId="0" applyBorder="1"/>
    <xf numFmtId="0" fontId="1" fillId="0" borderId="4" xfId="0" applyFont="1" applyBorder="1"/>
    <xf numFmtId="0" fontId="1" fillId="0" borderId="1" xfId="0" applyFont="1" applyBorder="1"/>
    <xf numFmtId="0" fontId="0" fillId="0" borderId="5" xfId="0" applyBorder="1"/>
    <xf numFmtId="14" fontId="0" fillId="0" borderId="1" xfId="0" applyNumberFormat="1" applyBorder="1"/>
    <xf numFmtId="14" fontId="0" fillId="0" borderId="6" xfId="0" applyNumberFormat="1" applyBorder="1"/>
    <xf numFmtId="0" fontId="0" fillId="0" borderId="1" xfId="0" applyBorder="1"/>
    <xf numFmtId="0" fontId="0" fillId="0" borderId="6" xfId="0" applyBorder="1"/>
    <xf numFmtId="0" fontId="0" fillId="0" borderId="7" xfId="0" applyBorder="1"/>
    <xf numFmtId="14" fontId="0" fillId="0" borderId="5" xfId="0" applyNumberFormat="1" applyBorder="1"/>
    <xf numFmtId="0" fontId="0" fillId="0" borderId="4" xfId="0" applyBorder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3 — E-Commerce Analysis.xlsx]Sheet2!PivotTable1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Sheet2!$A$4:$A$7</c:f>
              <c:strCache>
                <c:ptCount val="3"/>
                <c:pt idx="0">
                  <c:v>Team A </c:v>
                </c:pt>
                <c:pt idx="1">
                  <c:v>Team B </c:v>
                </c:pt>
                <c:pt idx="2">
                  <c:v>Team C </c:v>
                </c:pt>
              </c:strCache>
            </c:strRef>
          </c:cat>
          <c:val>
            <c:numRef>
              <c:f>Sheet2!$B$4:$B$7</c:f>
              <c:numCache>
                <c:formatCode>General</c:formatCode>
                <c:ptCount val="3"/>
                <c:pt idx="0">
                  <c:v>36</c:v>
                </c:pt>
                <c:pt idx="1">
                  <c:v>4.5</c:v>
                </c:pt>
                <c:pt idx="2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03-48A3-B91F-A07EAF9E41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27106463"/>
        <c:axId val="1027107423"/>
      </c:barChart>
      <c:catAx>
        <c:axId val="1027106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7107423"/>
        <c:crosses val="autoZero"/>
        <c:auto val="1"/>
        <c:lblAlgn val="ctr"/>
        <c:lblOffset val="100"/>
        <c:noMultiLvlLbl val="0"/>
      </c:catAx>
      <c:valAx>
        <c:axId val="1027107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7106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3 — E-Commerce Analysis.xlsx]Sheet3!PivotTable2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Sheet3!$A$4:$A$7</c:f>
              <c:strCache>
                <c:ptCount val="3"/>
                <c:pt idx="0">
                  <c:v>Hardware</c:v>
                </c:pt>
                <c:pt idx="1">
                  <c:v>Network </c:v>
                </c:pt>
                <c:pt idx="2">
                  <c:v>Software</c:v>
                </c:pt>
              </c:strCache>
            </c:strRef>
          </c:cat>
          <c:val>
            <c:numRef>
              <c:f>Sheet3!$B$4:$B$7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78-4BF3-B49E-B06430BEA2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27122783"/>
        <c:axId val="1027119903"/>
        <c:axId val="0"/>
      </c:bar3DChart>
      <c:catAx>
        <c:axId val="1027122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7119903"/>
        <c:crosses val="autoZero"/>
        <c:auto val="1"/>
        <c:lblAlgn val="ctr"/>
        <c:lblOffset val="100"/>
        <c:noMultiLvlLbl val="0"/>
      </c:catAx>
      <c:valAx>
        <c:axId val="1027119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7122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7</xdr:row>
      <xdr:rowOff>83820</xdr:rowOff>
    </xdr:from>
    <xdr:to>
      <xdr:col>5</xdr:col>
      <xdr:colOff>373380</xdr:colOff>
      <xdr:row>24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F7981E-443D-B292-093B-87E98535FE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</xdr:colOff>
      <xdr:row>7</xdr:row>
      <xdr:rowOff>83820</xdr:rowOff>
    </xdr:from>
    <xdr:to>
      <xdr:col>6</xdr:col>
      <xdr:colOff>327660</xdr:colOff>
      <xdr:row>24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AFF502-3CD7-40D9-B891-BB6279BC66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i" refreshedDate="46046.765572685188" createdVersion="8" refreshedVersion="8" minRefreshableVersion="3" recordCount="5" xr:uid="{8D0A2114-C0C3-4A7A-A983-A7CB5CF13BCD}">
  <cacheSource type="worksheet">
    <worksheetSource ref="A1:J6" sheet="Sheet1"/>
  </cacheSource>
  <cacheFields count="10">
    <cacheField name="Ticket_ID" numFmtId="0">
      <sharedItems/>
    </cacheField>
    <cacheField name="Created_Date" numFmtId="14">
      <sharedItems containsSemiMixedTypes="0" containsNonDate="0" containsDate="1" containsString="0" minDate="2024-01-02T00:00:00" maxDate="2024-01-13T00:00:00"/>
    </cacheField>
    <cacheField name="Resolved_Date" numFmtId="14">
      <sharedItems containsSemiMixedTypes="0" containsNonDate="0" containsDate="1" containsString="0" minDate="2024-01-03T00:00:00" maxDate="2024-01-15T00:00:00"/>
    </cacheField>
    <cacheField name="Client" numFmtId="0">
      <sharedItems/>
    </cacheField>
    <cacheField name="Issue_Type" numFmtId="0">
      <sharedItems count="3">
        <s v="Network "/>
        <s v="Software"/>
        <s v="Hardware"/>
      </sharedItems>
    </cacheField>
    <cacheField name="Priority" numFmtId="0">
      <sharedItems/>
    </cacheField>
    <cacheField name="Support_Team" numFmtId="0">
      <sharedItems count="3">
        <s v="Team A "/>
        <s v="Team B "/>
        <s v="Team C "/>
      </sharedItems>
    </cacheField>
    <cacheField name="Status" numFmtId="0">
      <sharedItems/>
    </cacheField>
    <cacheField name="Resolution_Time" numFmtId="0">
      <sharedItems containsSemiMixedTypes="0" containsString="0" containsNumber="1" containsInteger="1" minValue="3" maxValue="48"/>
    </cacheField>
    <cacheField name="Customer_Rating" numFmtId="0">
      <sharedItems containsSemiMixedTypes="0" containsString="0" containsNumber="1" containsInteger="1" minValue="1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s v="T001 "/>
    <d v="2024-01-02T00:00:00"/>
    <d v="2024-01-03T00:00:00"/>
    <s v="Infosys "/>
    <x v="0"/>
    <s v="High "/>
    <x v="0"/>
    <s v="Closed"/>
    <n v="24"/>
    <n v="3"/>
  </r>
  <r>
    <s v="T002 "/>
    <d v="2024-01-05T00:00:00"/>
    <d v="2024-01-05T00:00:00"/>
    <s v="TCS     "/>
    <x v="1"/>
    <s v="Medium"/>
    <x v="1"/>
    <s v="Closed "/>
    <n v="6"/>
    <n v="4"/>
  </r>
  <r>
    <s v="T003 "/>
    <d v="2024-01-06T00:00:00"/>
    <d v="2024-01-08T00:00:00"/>
    <s v="Wipro   "/>
    <x v="2"/>
    <s v="High "/>
    <x v="2"/>
    <s v="Closed "/>
    <n v="36"/>
    <n v="2"/>
  </r>
  <r>
    <s v="T004 "/>
    <d v="2024-01-10T00:00:00"/>
    <d v="2024-01-10T00:00:00"/>
    <s v="Infosys "/>
    <x v="0"/>
    <s v="Low  "/>
    <x v="1"/>
    <s v="Closed "/>
    <n v="3"/>
    <n v="5"/>
  </r>
  <r>
    <s v="T005 "/>
    <d v="2024-01-12T00:00:00"/>
    <d v="2024-01-14T00:00:00"/>
    <s v="TCS     "/>
    <x v="1"/>
    <s v="High "/>
    <x v="0"/>
    <s v="Closed "/>
    <n v="48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998FCC-6225-413C-B525-7E08BE0E15E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7" firstHeaderRow="1" firstDataRow="1" firstDataCol="1"/>
  <pivotFields count="10">
    <pivotField showAll="0"/>
    <pivotField numFmtId="14" showAll="0"/>
    <pivotField numFmtId="14"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Resolution_Time" fld="8" subtotal="average" baseField="6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5C4179-B9A9-4DEC-BF0C-65232B69D173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7" firstHeaderRow="1" firstDataRow="1" firstDataCol="1"/>
  <pivotFields count="10">
    <pivotField dataField="1" showAll="0"/>
    <pivotField numFmtId="14" showAll="0"/>
    <pivotField numFmtId="14"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Ticket_ID" fld="0" subtotal="count" baseField="4" baseItem="0"/>
  </dataField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A8C19-DE7B-45B0-90CB-054549149DA6}">
  <dimension ref="A3:B7"/>
  <sheetViews>
    <sheetView workbookViewId="0">
      <selection activeCell="B28" sqref="B28"/>
    </sheetView>
  </sheetViews>
  <sheetFormatPr defaultRowHeight="14.4" x14ac:dyDescent="0.3"/>
  <cols>
    <col min="1" max="1" width="12.5546875" bestFit="1" customWidth="1"/>
    <col min="2" max="2" width="24.88671875" bestFit="1" customWidth="1"/>
  </cols>
  <sheetData>
    <row r="3" spans="1:2" x14ac:dyDescent="0.3">
      <c r="A3" s="15" t="s">
        <v>30</v>
      </c>
      <c r="B3" t="s">
        <v>32</v>
      </c>
    </row>
    <row r="4" spans="1:2" x14ac:dyDescent="0.3">
      <c r="A4" s="16" t="s">
        <v>24</v>
      </c>
      <c r="B4">
        <v>36</v>
      </c>
    </row>
    <row r="5" spans="1:2" x14ac:dyDescent="0.3">
      <c r="A5" s="16" t="s">
        <v>25</v>
      </c>
      <c r="B5">
        <v>4.5</v>
      </c>
    </row>
    <row r="6" spans="1:2" x14ac:dyDescent="0.3">
      <c r="A6" s="16" t="s">
        <v>26</v>
      </c>
      <c r="B6">
        <v>36</v>
      </c>
    </row>
    <row r="7" spans="1:2" x14ac:dyDescent="0.3">
      <c r="A7" s="16" t="s">
        <v>31</v>
      </c>
      <c r="B7">
        <v>23.4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3A47B-8417-48CE-8491-8BF33250EC3D}">
  <dimension ref="A3:B7"/>
  <sheetViews>
    <sheetView workbookViewId="0">
      <selection activeCell="C31" sqref="C31"/>
    </sheetView>
  </sheetViews>
  <sheetFormatPr defaultRowHeight="14.4" x14ac:dyDescent="0.3"/>
  <cols>
    <col min="1" max="1" width="12.5546875" bestFit="1" customWidth="1"/>
    <col min="2" max="2" width="16.6640625" bestFit="1" customWidth="1"/>
  </cols>
  <sheetData>
    <row r="3" spans="1:2" x14ac:dyDescent="0.3">
      <c r="A3" s="15" t="s">
        <v>30</v>
      </c>
      <c r="B3" t="s">
        <v>33</v>
      </c>
    </row>
    <row r="4" spans="1:2" x14ac:dyDescent="0.3">
      <c r="A4" s="16" t="s">
        <v>20</v>
      </c>
      <c r="B4">
        <v>1</v>
      </c>
    </row>
    <row r="5" spans="1:2" x14ac:dyDescent="0.3">
      <c r="A5" s="16" t="s">
        <v>18</v>
      </c>
      <c r="B5">
        <v>2</v>
      </c>
    </row>
    <row r="6" spans="1:2" x14ac:dyDescent="0.3">
      <c r="A6" s="16" t="s">
        <v>19</v>
      </c>
      <c r="B6">
        <v>2</v>
      </c>
    </row>
    <row r="7" spans="1:2" x14ac:dyDescent="0.3">
      <c r="A7" s="16" t="s">
        <v>31</v>
      </c>
      <c r="B7">
        <v>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377FE-2CD9-4FC2-989A-F4F4AEE79944}">
  <dimension ref="A1:J10"/>
  <sheetViews>
    <sheetView tabSelected="1" workbookViewId="0">
      <selection activeCell="J1" sqref="J1"/>
    </sheetView>
  </sheetViews>
  <sheetFormatPr defaultRowHeight="14.4" x14ac:dyDescent="0.3"/>
  <cols>
    <col min="2" max="2" width="12.33203125" bestFit="1" customWidth="1"/>
    <col min="3" max="3" width="13.33203125" bestFit="1" customWidth="1"/>
    <col min="5" max="5" width="9.88671875" customWidth="1"/>
    <col min="7" max="7" width="13.77734375" customWidth="1"/>
    <col min="9" max="10" width="15.77734375" customWidth="1"/>
  </cols>
  <sheetData>
    <row r="1" spans="1:10" x14ac:dyDescent="0.3">
      <c r="A1" s="5" t="s">
        <v>0</v>
      </c>
      <c r="B1" s="6" t="s">
        <v>1</v>
      </c>
      <c r="C1" s="5" t="s">
        <v>2</v>
      </c>
      <c r="D1" s="6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5" t="s">
        <v>8</v>
      </c>
      <c r="J1" s="6" t="s">
        <v>9</v>
      </c>
    </row>
    <row r="2" spans="1:10" x14ac:dyDescent="0.3">
      <c r="A2" t="s">
        <v>10</v>
      </c>
      <c r="B2" s="2">
        <v>45293</v>
      </c>
      <c r="C2" s="1">
        <v>45294</v>
      </c>
      <c r="D2" s="4" t="s">
        <v>15</v>
      </c>
      <c r="E2" t="s">
        <v>18</v>
      </c>
      <c r="F2" s="4" t="s">
        <v>21</v>
      </c>
      <c r="G2" t="s">
        <v>24</v>
      </c>
      <c r="H2" s="4" t="s">
        <v>27</v>
      </c>
      <c r="I2">
        <v>24</v>
      </c>
      <c r="J2" s="4">
        <v>3</v>
      </c>
    </row>
    <row r="3" spans="1:10" x14ac:dyDescent="0.3">
      <c r="A3" s="7" t="s">
        <v>11</v>
      </c>
      <c r="B3" s="8">
        <v>45296</v>
      </c>
      <c r="C3" s="9">
        <v>45296</v>
      </c>
      <c r="D3" s="10" t="s">
        <v>16</v>
      </c>
      <c r="E3" s="11" t="s">
        <v>19</v>
      </c>
      <c r="F3" s="10" t="s">
        <v>22</v>
      </c>
      <c r="G3" s="11" t="s">
        <v>25</v>
      </c>
      <c r="H3" s="10" t="s">
        <v>28</v>
      </c>
      <c r="I3" s="11">
        <v>6</v>
      </c>
      <c r="J3" s="10">
        <v>4</v>
      </c>
    </row>
    <row r="4" spans="1:10" x14ac:dyDescent="0.3">
      <c r="A4" t="s">
        <v>12</v>
      </c>
      <c r="B4" s="2">
        <v>45297</v>
      </c>
      <c r="C4" s="1">
        <v>45299</v>
      </c>
      <c r="D4" s="4" t="s">
        <v>17</v>
      </c>
      <c r="E4" t="s">
        <v>20</v>
      </c>
      <c r="F4" s="4" t="s">
        <v>21</v>
      </c>
      <c r="G4" t="s">
        <v>26</v>
      </c>
      <c r="H4" s="4" t="s">
        <v>28</v>
      </c>
      <c r="I4">
        <v>36</v>
      </c>
      <c r="J4" s="4">
        <v>2</v>
      </c>
    </row>
    <row r="5" spans="1:10" x14ac:dyDescent="0.3">
      <c r="A5" s="7" t="s">
        <v>13</v>
      </c>
      <c r="B5" s="8">
        <v>45301</v>
      </c>
      <c r="C5" s="9">
        <v>45301</v>
      </c>
      <c r="D5" s="10" t="s">
        <v>15</v>
      </c>
      <c r="E5" s="11" t="s">
        <v>18</v>
      </c>
      <c r="F5" s="10" t="s">
        <v>23</v>
      </c>
      <c r="G5" s="11" t="s">
        <v>25</v>
      </c>
      <c r="H5" s="10" t="s">
        <v>28</v>
      </c>
      <c r="I5" s="11">
        <v>3</v>
      </c>
      <c r="J5" s="10">
        <v>5</v>
      </c>
    </row>
    <row r="6" spans="1:10" x14ac:dyDescent="0.3">
      <c r="A6" s="12" t="s">
        <v>14</v>
      </c>
      <c r="B6" s="3">
        <v>45303</v>
      </c>
      <c r="C6" s="13">
        <v>45305</v>
      </c>
      <c r="D6" s="10" t="s">
        <v>16</v>
      </c>
      <c r="E6" s="11" t="s">
        <v>19</v>
      </c>
      <c r="F6" s="10" t="s">
        <v>21</v>
      </c>
      <c r="G6" s="11" t="s">
        <v>24</v>
      </c>
      <c r="H6" s="10" t="s">
        <v>28</v>
      </c>
      <c r="I6" s="11">
        <v>48</v>
      </c>
      <c r="J6" s="10">
        <v>1</v>
      </c>
    </row>
    <row r="9" spans="1:10" x14ac:dyDescent="0.3">
      <c r="I9" s="14"/>
    </row>
    <row r="10" spans="1:10" x14ac:dyDescent="0.3">
      <c r="B10" t="s">
        <v>29</v>
      </c>
      <c r="C10">
        <f>AVERAGE(I2:I6)</f>
        <v>23.4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A0578-8CB6-40AC-A2D5-6E0A4B25BA99}">
  <dimension ref="K1:L23"/>
  <sheetViews>
    <sheetView topLeftCell="F1" workbookViewId="0">
      <selection activeCell="K32" sqref="K32"/>
    </sheetView>
  </sheetViews>
  <sheetFormatPr defaultRowHeight="14.4" x14ac:dyDescent="0.3"/>
  <cols>
    <col min="11" max="11" width="38.88671875" customWidth="1"/>
  </cols>
  <sheetData>
    <row r="1" spans="11:12" x14ac:dyDescent="0.3">
      <c r="K1" t="s">
        <v>34</v>
      </c>
    </row>
    <row r="3" spans="11:12" x14ac:dyDescent="0.3">
      <c r="K3" t="s">
        <v>35</v>
      </c>
      <c r="L3">
        <f>AVERAGE(Sheet1!I2:I6)</f>
        <v>23.4</v>
      </c>
    </row>
    <row r="4" spans="11:12" x14ac:dyDescent="0.3">
      <c r="K4" t="s">
        <v>36</v>
      </c>
      <c r="L4">
        <f>AVERAGE(Sheet1!J2:J6)</f>
        <v>3</v>
      </c>
    </row>
    <row r="7" spans="11:12" x14ac:dyDescent="0.3">
      <c r="K7" t="s">
        <v>37</v>
      </c>
      <c r="L7">
        <f>MEDIAN(Sheet1!I2:I6)</f>
        <v>24</v>
      </c>
    </row>
    <row r="8" spans="11:12" x14ac:dyDescent="0.3">
      <c r="K8" t="s">
        <v>38</v>
      </c>
      <c r="L8">
        <f>MEDIAN(Sheet1!J2:J6)</f>
        <v>3</v>
      </c>
    </row>
    <row r="11" spans="11:12" x14ac:dyDescent="0.3">
      <c r="K11" t="s">
        <v>39</v>
      </c>
      <c r="L11" t="e">
        <f>_xlfn.MODE.SNGL(Sheet1!I2:I6)</f>
        <v>#N/A</v>
      </c>
    </row>
    <row r="12" spans="11:12" x14ac:dyDescent="0.3">
      <c r="K12" t="s">
        <v>40</v>
      </c>
      <c r="L12" t="e">
        <f>_xlfn.MODE.SNGL(Sheet1!J2:J6)</f>
        <v>#N/A</v>
      </c>
    </row>
    <row r="15" spans="11:12" x14ac:dyDescent="0.3">
      <c r="K15" t="s">
        <v>41</v>
      </c>
      <c r="L15">
        <f>_xlfn.STDEV.P(Sheet1!I2:I6)</f>
        <v>17.223240113288789</v>
      </c>
    </row>
    <row r="16" spans="11:12" x14ac:dyDescent="0.3">
      <c r="K16" t="s">
        <v>42</v>
      </c>
      <c r="L16">
        <f>_xlfn.STDEV.P(Sheet1!J2:J6)</f>
        <v>1.4142135623730951</v>
      </c>
    </row>
    <row r="19" spans="11:12" x14ac:dyDescent="0.3">
      <c r="K19" t="s">
        <v>43</v>
      </c>
    </row>
    <row r="20" spans="11:12" x14ac:dyDescent="0.3">
      <c r="K20" t="s">
        <v>44</v>
      </c>
      <c r="L20">
        <f>CORREL(Sheet1!I2:I6,Sheet1!J2:J6)</f>
        <v>-0.98532927816429305</v>
      </c>
    </row>
    <row r="23" spans="11:12" x14ac:dyDescent="0.3">
      <c r="K23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Sheet3</vt:lpstr>
      <vt:lpstr>Sheet1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hi</cp:lastModifiedBy>
  <dcterms:created xsi:type="dcterms:W3CDTF">2026-01-24T11:44:38Z</dcterms:created>
  <dcterms:modified xsi:type="dcterms:W3CDTF">2026-04-07T03:38:45Z</dcterms:modified>
</cp:coreProperties>
</file>